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jpdebeer/Downloads/"/>
    </mc:Choice>
  </mc:AlternateContent>
  <xr:revisionPtr revIDLastSave="0" documentId="13_ncr:1_{0A3A3616-0507-7448-A321-043BD8B63525}" xr6:coauthVersionLast="47" xr6:coauthVersionMax="47" xr10:uidLastSave="{00000000-0000-0000-0000-000000000000}"/>
  <bookViews>
    <workbookView xWindow="0" yWindow="700" windowWidth="34200" windowHeight="19640" xr2:uid="{00000000-000D-0000-FFFF-FFFF00000000}"/>
  </bookViews>
  <sheets>
    <sheet name="Business Glossary Entry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C5" i="2" s="1"/>
</calcChain>
</file>

<file path=xl/sharedStrings.xml><?xml version="1.0" encoding="utf-8"?>
<sst xmlns="http://schemas.openxmlformats.org/spreadsheetml/2006/main" count="179" uniqueCount="136">
  <si>
    <t>Section</t>
  </si>
  <si>
    <t>Field</t>
  </si>
  <si>
    <t>Example Value (NIM)</t>
  </si>
  <si>
    <t>Source</t>
  </si>
  <si>
    <t>LEGEND</t>
  </si>
  <si>
    <t>Core Identity</t>
  </si>
  <si>
    <t>Term Name</t>
  </si>
  <si>
    <t>Net Interest Margin</t>
  </si>
  <si>
    <t>👤 User input</t>
  </si>
  <si>
    <t>🤖 AI can provide</t>
  </si>
  <si>
    <t>Unique Identifier</t>
  </si>
  <si>
    <t>GLO-FIN-0087</t>
  </si>
  <si>
    <t>⚙️ System generated</t>
  </si>
  <si>
    <t>🤖 AI drafts — 👤 validate</t>
  </si>
  <si>
    <t>Abbreviation</t>
  </si>
  <si>
    <t>NIM</t>
  </si>
  <si>
    <t>👤 User input required</t>
  </si>
  <si>
    <t>Aliases / Synonyms</t>
  </si>
  <si>
    <t>Net Interest Spread (informal); NIM Ratio</t>
  </si>
  <si>
    <t>Version</t>
  </si>
  <si>
    <t>2.1</t>
  </si>
  <si>
    <t>Status</t>
  </si>
  <si>
    <t>Approved</t>
  </si>
  <si>
    <t>Definition &amp; Semantics</t>
  </si>
  <si>
    <t>Business Definition</t>
  </si>
  <si>
    <t>A measure of the difference between interest income generated by a bank's earning assets and the interest paid on its funding liabilities, expressed as a percentage of average earning assets. Indicates how effectively the bank is deploying its balance sheet to generate net interest income relative to its asset base.</t>
  </si>
  <si>
    <t>🤖 AI can draft — 👤 steward must validate</t>
  </si>
  <si>
    <t>Definition Notes</t>
  </si>
  <si>
    <t>Calculated on an annualised basis. Earning assets include loans, advances, and interest-bearing securities. Non-earning assets (cash, fixed assets) are excluded from the denominator. Cross-institution comparisons should account for balance sheet composition and local rate environments.</t>
  </si>
  <si>
    <t>Counter-Examples</t>
  </si>
  <si>
    <t>Does not include fee income, trading income, or non-interest revenue. Not equivalent to Net Interest Income (NII), which is an absolute monetary figure, not a ratio.</t>
  </si>
  <si>
    <t>Formula</t>
  </si>
  <si>
    <t>NIM = (Interest Income − Interest Expense) / Average Earning Assets × 100</t>
  </si>
  <si>
    <t>Unit of Measure</t>
  </si>
  <si>
    <t>Percentage (%), annualised</t>
  </si>
  <si>
    <t>Classification</t>
  </si>
  <si>
    <t>Domain</t>
  </si>
  <si>
    <t>Finance</t>
  </si>
  <si>
    <t>🤖 AI can suggest — 👤 steward confirms</t>
  </si>
  <si>
    <t>Subdomain</t>
  </si>
  <si>
    <t>Profitability &amp; Performance</t>
  </si>
  <si>
    <t>Term Type</t>
  </si>
  <si>
    <t>KPI / Financial Metric</t>
  </si>
  <si>
    <t>Sensitivity Classification</t>
  </si>
  <si>
    <t>Internal</t>
  </si>
  <si>
    <t>👤 User input — policy decision</t>
  </si>
  <si>
    <t>Regulatory Tags</t>
  </si>
  <si>
    <t>CBUAE Prudential Returns; BCBS 239 (Principle 6); IFRS 9</t>
  </si>
  <si>
    <t>🤖 AI can suggest — 👤 steward must verify</t>
  </si>
  <si>
    <t>Subject Area</t>
  </si>
  <si>
    <t>Retail Banking; Corporate Banking; Treasury</t>
  </si>
  <si>
    <t>Ownership</t>
  </si>
  <si>
    <t>Business Term Owner</t>
  </si>
  <si>
    <t>Head of Financial Planning &amp; Analysis, CFO Division</t>
  </si>
  <si>
    <t>Data Steward</t>
  </si>
  <si>
    <t>Senior Data Analyst, Finance Data Management</t>
  </si>
  <si>
    <t>Data Domain Owner</t>
  </si>
  <si>
    <t>Chief Financial Officer</t>
  </si>
  <si>
    <t>Approver</t>
  </si>
  <si>
    <t>Group Finance Controller</t>
  </si>
  <si>
    <t>Organisational Unit</t>
  </si>
  <si>
    <t>Group Finance</t>
  </si>
  <si>
    <t>Lifecycle</t>
  </si>
  <si>
    <t>Created Date</t>
  </si>
  <si>
    <t>14 March 2021</t>
  </si>
  <si>
    <t>Last Modified Date</t>
  </si>
  <si>
    <t>02 January 2025</t>
  </si>
  <si>
    <t>Last Modified By</t>
  </si>
  <si>
    <t>Finance Data Steward</t>
  </si>
  <si>
    <t>Approved Date</t>
  </si>
  <si>
    <t>15 January 2025</t>
  </si>
  <si>
    <t>⚙️ System generated — on approval event</t>
  </si>
  <si>
    <t>Review Frequency</t>
  </si>
  <si>
    <t>Annual</t>
  </si>
  <si>
    <t>Next Review Date</t>
  </si>
  <si>
    <t>January 2026</t>
  </si>
  <si>
    <t>⚙️ System generated — from review frequency</t>
  </si>
  <si>
    <t>Change History</t>
  </si>
  <si>
    <t>v2.1 — Denominator clarified to exclude non-earning assets per CBUAE alignment. v2.0 — Formula standardised across segments. v1.0 — Initial entry.</t>
  </si>
  <si>
    <t>⚙️ System generated — audit trail</t>
  </si>
  <si>
    <t>Relationships</t>
  </si>
  <si>
    <t>Parent Term</t>
  </si>
  <si>
    <t>Profitability Ratios</t>
  </si>
  <si>
    <t>Child Terms</t>
  </si>
  <si>
    <t>Lending NIM; Treasury NIM</t>
  </si>
  <si>
    <t>Related Terms</t>
  </si>
  <si>
    <t>Net Interest Income (NII); Cost of Funds; Yield on Earning Assets; Return on Assets (ROA)</t>
  </si>
  <si>
    <t>Conflicting Terms</t>
  </si>
  <si>
    <t>"Net Interest Spread" — informal usage in some BUs applies a different denominator; to be aligned to this definition</t>
  </si>
  <si>
    <t>🤖 AI can flag — 👤 steward must resolve</t>
  </si>
  <si>
    <t>Is Part Of</t>
  </si>
  <si>
    <t>Bank Profitability Framework</t>
  </si>
  <si>
    <t>Usage &amp; Context</t>
  </si>
  <si>
    <t>Business Rules</t>
  </si>
  <si>
    <t>Average earning assets used (not period-end). Reported monthly for MIS, quarterly for CBUAE. Segment NIM must reconcile to Group NIM. Annualisation: monthly ×12, quarterly ×4.</t>
  </si>
  <si>
    <t>Used In Reports</t>
  </si>
  <si>
    <t>ALCO Pack; CFO Monthly Dashboard; Board Performance Report; CBUAE Quarterly Prudential Return</t>
  </si>
  <si>
    <t>👤 User input — requires institutional knowledge</t>
  </si>
  <si>
    <t>Used In Processes</t>
  </si>
  <si>
    <t>Asset &amp; Liability Management; Annual Budgeting; Stress Testing; Pricing Review</t>
  </si>
  <si>
    <t>Used In Policies</t>
  </si>
  <si>
    <t>IRRBB Policy; Funds Transfer Pricing Policy</t>
  </si>
  <si>
    <t>Regulatory Reporting Usage</t>
  </si>
  <si>
    <t>CBUAE Quarterly Prudential Return — Schedule F; BCBS 239 CDE reporting</t>
  </si>
  <si>
    <t>Quality</t>
  </si>
  <si>
    <t>Completeness Score</t>
  </si>
  <si>
    <t>94%</t>
  </si>
  <si>
    <t>⚙️ System generated — from metadata coverage</t>
  </si>
  <si>
    <t>Confidence Level</t>
  </si>
  <si>
    <t>High</t>
  </si>
  <si>
    <t>Certification Status</t>
  </si>
  <si>
    <t>Certified — Group Finance, January 2025</t>
  </si>
  <si>
    <t>Known Issues / Disputes</t>
  </si>
  <si>
    <t>Treasury segment applies different earning asset scope for internal vs. regulatory reporting. Tracked under DQ-Issue-2024-114.</t>
  </si>
  <si>
    <t>CDE Flag</t>
  </si>
  <si>
    <t>Yes — Critical Data Element under BCBS 239</t>
  </si>
  <si>
    <t>Golden Source</t>
  </si>
  <si>
    <t>Core Banking System (T24) via Finance Data Warehouse</t>
  </si>
  <si>
    <t>Discoverability</t>
  </si>
  <si>
    <t>Tags / Keywords</t>
  </si>
  <si>
    <t>profitability; interest income; spread; balance sheet; ALM; ALCO; yield; margin</t>
  </si>
  <si>
    <t>Language</t>
  </si>
  <si>
    <t>English</t>
  </si>
  <si>
    <t>⚙️ System generated — from user locale</t>
  </si>
  <si>
    <t>Visibility</t>
  </si>
  <si>
    <t>Enterprise-wide</t>
  </si>
  <si>
    <t>Glossary Source</t>
  </si>
  <si>
    <t>Internal — aligned to CBUAE and BCBS 239 definitions</t>
  </si>
  <si>
    <t>External Reference</t>
  </si>
  <si>
    <t>BCBS 239 Principle 6; CBUAE Prudential Reporting Guidelines Schedule F</t>
  </si>
  <si>
    <t>Source Category</t>
  </si>
  <si>
    <t>Field Count</t>
  </si>
  <si>
    <t>% of Total</t>
  </si>
  <si>
    <t>🤖 AI can provide / draft / suggest</t>
  </si>
  <si>
    <t>TOTAL</t>
  </si>
  <si>
    <t>Part of DQ, Not Business Glossary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</si>
</sst>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b/>
      <sz val="10"/>
      <color rgb="FF1F3864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BDC7D8"/>
      </left>
      <right style="thin">
        <color rgb="FFBDC7D8"/>
      </right>
      <top style="thin">
        <color rgb="FFBDC7D8"/>
      </top>
      <bottom style="thin">
        <color rgb="FFBDC7D8"/>
      </bottom>
      <diagonal/>
    </border>
    <border>
      <left style="thin">
        <color rgb="FFBDC7D8"/>
      </left>
      <right style="thin">
        <color rgb="FFBDC7D8"/>
      </right>
      <top/>
      <bottom/>
      <diagonal/>
    </border>
    <border>
      <left style="thin">
        <color rgb="FFBDC7D8"/>
      </left>
      <right style="thin">
        <color rgb="FFBDC7D8"/>
      </right>
      <top/>
      <bottom style="thin">
        <color rgb="FFBDC7D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9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9" fontId="5" fillId="4" borderId="1" xfId="0" applyNumberFormat="1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9" fontId="5" fillId="6" borderId="1" xfId="0" applyNumberFormat="1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9" fontId="5" fillId="7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9" fontId="2" fillId="3" borderId="1" xfId="0" applyNumberFormat="1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 activeCell="E44" sqref="E44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72" customWidth="1"/>
    <col min="4" max="4" width="38" customWidth="1"/>
    <col min="5" max="5" width="26.1640625" bestFit="1" customWidth="1"/>
    <col min="6" max="6" width="30" customWidth="1"/>
  </cols>
  <sheetData>
    <row r="1" spans="1:6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6" ht="40" customHeight="1" x14ac:dyDescent="0.2">
      <c r="A2" s="23" t="s">
        <v>5</v>
      </c>
      <c r="B2" s="3" t="s">
        <v>6</v>
      </c>
      <c r="C2" s="4" t="s">
        <v>7</v>
      </c>
      <c r="D2" s="5" t="s">
        <v>8</v>
      </c>
      <c r="F2" s="6" t="s">
        <v>9</v>
      </c>
    </row>
    <row r="3" spans="1:6" ht="40" customHeight="1" x14ac:dyDescent="0.2">
      <c r="A3" s="24"/>
      <c r="B3" s="7" t="s">
        <v>10</v>
      </c>
      <c r="C3" s="8" t="s">
        <v>11</v>
      </c>
      <c r="D3" s="9" t="s">
        <v>12</v>
      </c>
      <c r="F3" s="10" t="s">
        <v>13</v>
      </c>
    </row>
    <row r="4" spans="1:6" ht="40" customHeight="1" x14ac:dyDescent="0.2">
      <c r="A4" s="24"/>
      <c r="B4" s="3" t="s">
        <v>14</v>
      </c>
      <c r="C4" s="4" t="s">
        <v>15</v>
      </c>
      <c r="D4" s="6" t="s">
        <v>9</v>
      </c>
      <c r="F4" s="5" t="s">
        <v>16</v>
      </c>
    </row>
    <row r="5" spans="1:6" ht="40" customHeight="1" x14ac:dyDescent="0.2">
      <c r="A5" s="24"/>
      <c r="B5" s="7" t="s">
        <v>17</v>
      </c>
      <c r="C5" s="8" t="s">
        <v>18</v>
      </c>
      <c r="D5" s="6" t="s">
        <v>9</v>
      </c>
      <c r="F5" s="9" t="s">
        <v>12</v>
      </c>
    </row>
    <row r="6" spans="1:6" ht="40" customHeight="1" x14ac:dyDescent="0.2">
      <c r="A6" s="24"/>
      <c r="B6" s="3" t="s">
        <v>19</v>
      </c>
      <c r="C6" s="4" t="s">
        <v>20</v>
      </c>
      <c r="D6" s="9" t="s">
        <v>12</v>
      </c>
    </row>
    <row r="7" spans="1:6" ht="40" customHeight="1" x14ac:dyDescent="0.2">
      <c r="A7" s="25"/>
      <c r="B7" s="7" t="s">
        <v>21</v>
      </c>
      <c r="C7" s="8" t="s">
        <v>22</v>
      </c>
      <c r="D7" s="5" t="s">
        <v>8</v>
      </c>
    </row>
    <row r="8" spans="1:6" ht="40" customHeight="1" x14ac:dyDescent="0.2">
      <c r="A8" s="23" t="s">
        <v>23</v>
      </c>
      <c r="B8" s="3" t="s">
        <v>24</v>
      </c>
      <c r="C8" s="4" t="s">
        <v>25</v>
      </c>
      <c r="D8" s="10" t="s">
        <v>26</v>
      </c>
    </row>
    <row r="9" spans="1:6" ht="40" customHeight="1" x14ac:dyDescent="0.2">
      <c r="A9" s="24"/>
      <c r="B9" s="7" t="s">
        <v>27</v>
      </c>
      <c r="C9" s="8" t="s">
        <v>28</v>
      </c>
      <c r="D9" s="10" t="s">
        <v>26</v>
      </c>
    </row>
    <row r="10" spans="1:6" ht="40" customHeight="1" x14ac:dyDescent="0.2">
      <c r="A10" s="24"/>
      <c r="B10" s="3" t="s">
        <v>29</v>
      </c>
      <c r="C10" s="4" t="s">
        <v>30</v>
      </c>
      <c r="D10" s="10" t="s">
        <v>26</v>
      </c>
    </row>
    <row r="11" spans="1:6" ht="40" customHeight="1" x14ac:dyDescent="0.2">
      <c r="A11" s="24"/>
      <c r="B11" s="7" t="s">
        <v>31</v>
      </c>
      <c r="C11" s="8" t="s">
        <v>32</v>
      </c>
      <c r="D11" s="6" t="s">
        <v>9</v>
      </c>
    </row>
    <row r="12" spans="1:6" ht="40" customHeight="1" x14ac:dyDescent="0.2">
      <c r="A12" s="25"/>
      <c r="B12" s="3" t="s">
        <v>33</v>
      </c>
      <c r="C12" s="4" t="s">
        <v>34</v>
      </c>
      <c r="D12" s="6" t="s">
        <v>9</v>
      </c>
    </row>
    <row r="13" spans="1:6" ht="40" customHeight="1" x14ac:dyDescent="0.2">
      <c r="A13" s="23" t="s">
        <v>35</v>
      </c>
      <c r="B13" s="7" t="s">
        <v>36</v>
      </c>
      <c r="C13" s="8" t="s">
        <v>37</v>
      </c>
      <c r="D13" s="10" t="s">
        <v>38</v>
      </c>
    </row>
    <row r="14" spans="1:6" ht="40" customHeight="1" x14ac:dyDescent="0.2">
      <c r="A14" s="24"/>
      <c r="B14" s="3" t="s">
        <v>39</v>
      </c>
      <c r="C14" s="4" t="s">
        <v>40</v>
      </c>
      <c r="D14" s="10" t="s">
        <v>38</v>
      </c>
    </row>
    <row r="15" spans="1:6" ht="40" customHeight="1" x14ac:dyDescent="0.2">
      <c r="A15" s="24"/>
      <c r="B15" s="7" t="s">
        <v>41</v>
      </c>
      <c r="C15" s="8" t="s">
        <v>42</v>
      </c>
      <c r="D15" s="10" t="s">
        <v>38</v>
      </c>
    </row>
    <row r="16" spans="1:6" ht="40" customHeight="1" x14ac:dyDescent="0.2">
      <c r="A16" s="24"/>
      <c r="B16" s="3" t="s">
        <v>43</v>
      </c>
      <c r="C16" s="4" t="s">
        <v>44</v>
      </c>
      <c r="D16" s="5" t="s">
        <v>45</v>
      </c>
    </row>
    <row r="17" spans="1:4" ht="40" customHeight="1" x14ac:dyDescent="0.2">
      <c r="A17" s="24"/>
      <c r="B17" s="7" t="s">
        <v>46</v>
      </c>
      <c r="C17" s="8" t="s">
        <v>47</v>
      </c>
      <c r="D17" s="10" t="s">
        <v>48</v>
      </c>
    </row>
    <row r="18" spans="1:4" ht="40" customHeight="1" x14ac:dyDescent="0.2">
      <c r="A18" s="25"/>
      <c r="B18" s="3" t="s">
        <v>49</v>
      </c>
      <c r="C18" s="4" t="s">
        <v>50</v>
      </c>
      <c r="D18" s="10" t="s">
        <v>38</v>
      </c>
    </row>
    <row r="19" spans="1:4" ht="40" customHeight="1" x14ac:dyDescent="0.2">
      <c r="A19" s="23" t="s">
        <v>51</v>
      </c>
      <c r="B19" s="7" t="s">
        <v>52</v>
      </c>
      <c r="C19" s="8" t="s">
        <v>53</v>
      </c>
      <c r="D19" s="5" t="s">
        <v>8</v>
      </c>
    </row>
    <row r="20" spans="1:4" ht="40" customHeight="1" x14ac:dyDescent="0.2">
      <c r="A20" s="24"/>
      <c r="B20" s="3" t="s">
        <v>54</v>
      </c>
      <c r="C20" s="4" t="s">
        <v>55</v>
      </c>
      <c r="D20" s="5" t="s">
        <v>8</v>
      </c>
    </row>
    <row r="21" spans="1:4" ht="40" customHeight="1" x14ac:dyDescent="0.2">
      <c r="A21" s="24"/>
      <c r="B21" s="7" t="s">
        <v>56</v>
      </c>
      <c r="C21" s="8" t="s">
        <v>57</v>
      </c>
      <c r="D21" s="5" t="s">
        <v>8</v>
      </c>
    </row>
    <row r="22" spans="1:4" ht="40" customHeight="1" x14ac:dyDescent="0.2">
      <c r="A22" s="24"/>
      <c r="B22" s="3" t="s">
        <v>58</v>
      </c>
      <c r="C22" s="4" t="s">
        <v>59</v>
      </c>
      <c r="D22" s="5" t="s">
        <v>8</v>
      </c>
    </row>
    <row r="23" spans="1:4" ht="40" customHeight="1" x14ac:dyDescent="0.2">
      <c r="A23" s="25"/>
      <c r="B23" s="7" t="s">
        <v>60</v>
      </c>
      <c r="C23" s="8" t="s">
        <v>61</v>
      </c>
      <c r="D23" s="5" t="s">
        <v>8</v>
      </c>
    </row>
    <row r="24" spans="1:4" ht="40" customHeight="1" x14ac:dyDescent="0.2">
      <c r="A24" s="23" t="s">
        <v>62</v>
      </c>
      <c r="B24" s="3" t="s">
        <v>63</v>
      </c>
      <c r="C24" s="4" t="s">
        <v>64</v>
      </c>
      <c r="D24" s="9" t="s">
        <v>12</v>
      </c>
    </row>
    <row r="25" spans="1:4" ht="40" customHeight="1" x14ac:dyDescent="0.2">
      <c r="A25" s="24"/>
      <c r="B25" s="7" t="s">
        <v>65</v>
      </c>
      <c r="C25" s="8" t="s">
        <v>66</v>
      </c>
      <c r="D25" s="9" t="s">
        <v>12</v>
      </c>
    </row>
    <row r="26" spans="1:4" ht="40" customHeight="1" x14ac:dyDescent="0.2">
      <c r="A26" s="24"/>
      <c r="B26" s="3" t="s">
        <v>67</v>
      </c>
      <c r="C26" s="4" t="s">
        <v>68</v>
      </c>
      <c r="D26" s="9" t="s">
        <v>12</v>
      </c>
    </row>
    <row r="27" spans="1:4" ht="40" customHeight="1" x14ac:dyDescent="0.2">
      <c r="A27" s="24"/>
      <c r="B27" s="7" t="s">
        <v>69</v>
      </c>
      <c r="C27" s="8" t="s">
        <v>70</v>
      </c>
      <c r="D27" s="9" t="s">
        <v>71</v>
      </c>
    </row>
    <row r="28" spans="1:4" ht="40" customHeight="1" x14ac:dyDescent="0.2">
      <c r="A28" s="24"/>
      <c r="B28" s="3" t="s">
        <v>72</v>
      </c>
      <c r="C28" s="4" t="s">
        <v>73</v>
      </c>
      <c r="D28" s="5" t="s">
        <v>45</v>
      </c>
    </row>
    <row r="29" spans="1:4" ht="40" customHeight="1" x14ac:dyDescent="0.2">
      <c r="A29" s="24"/>
      <c r="B29" s="7" t="s">
        <v>74</v>
      </c>
      <c r="C29" s="8" t="s">
        <v>75</v>
      </c>
      <c r="D29" s="9" t="s">
        <v>76</v>
      </c>
    </row>
    <row r="30" spans="1:4" ht="40" customHeight="1" x14ac:dyDescent="0.2">
      <c r="A30" s="25"/>
      <c r="B30" s="3" t="s">
        <v>77</v>
      </c>
      <c r="C30" s="4" t="s">
        <v>78</v>
      </c>
      <c r="D30" s="9" t="s">
        <v>79</v>
      </c>
    </row>
    <row r="31" spans="1:4" ht="40" customHeight="1" x14ac:dyDescent="0.2">
      <c r="A31" s="23" t="s">
        <v>80</v>
      </c>
      <c r="B31" s="7" t="s">
        <v>81</v>
      </c>
      <c r="C31" s="8" t="s">
        <v>82</v>
      </c>
      <c r="D31" s="10" t="s">
        <v>38</v>
      </c>
    </row>
    <row r="32" spans="1:4" ht="40" customHeight="1" x14ac:dyDescent="0.2">
      <c r="A32" s="24"/>
      <c r="B32" s="3" t="s">
        <v>83</v>
      </c>
      <c r="C32" s="4" t="s">
        <v>84</v>
      </c>
      <c r="D32" s="10" t="s">
        <v>38</v>
      </c>
    </row>
    <row r="33" spans="1:5" ht="40" customHeight="1" x14ac:dyDescent="0.2">
      <c r="A33" s="24"/>
      <c r="B33" s="7" t="s">
        <v>85</v>
      </c>
      <c r="C33" s="8" t="s">
        <v>86</v>
      </c>
      <c r="D33" s="10" t="s">
        <v>38</v>
      </c>
    </row>
    <row r="34" spans="1:5" ht="40" customHeight="1" x14ac:dyDescent="0.2">
      <c r="A34" s="24"/>
      <c r="B34" s="3" t="s">
        <v>87</v>
      </c>
      <c r="C34" s="4" t="s">
        <v>88</v>
      </c>
      <c r="D34" s="10" t="s">
        <v>89</v>
      </c>
    </row>
    <row r="35" spans="1:5" ht="40" customHeight="1" x14ac:dyDescent="0.2">
      <c r="A35" s="25"/>
      <c r="B35" s="7" t="s">
        <v>90</v>
      </c>
      <c r="C35" s="8" t="s">
        <v>91</v>
      </c>
      <c r="D35" s="10" t="s">
        <v>38</v>
      </c>
    </row>
    <row r="36" spans="1:5" ht="40" customHeight="1" x14ac:dyDescent="0.2">
      <c r="A36" s="23" t="s">
        <v>92</v>
      </c>
      <c r="B36" s="3" t="s">
        <v>93</v>
      </c>
      <c r="C36" s="4" t="s">
        <v>94</v>
      </c>
      <c r="D36" s="10" t="s">
        <v>26</v>
      </c>
    </row>
    <row r="37" spans="1:5" ht="40" customHeight="1" x14ac:dyDescent="0.2">
      <c r="A37" s="24"/>
      <c r="B37" s="7" t="s">
        <v>95</v>
      </c>
      <c r="C37" s="8" t="s">
        <v>96</v>
      </c>
      <c r="D37" s="5" t="s">
        <v>97</v>
      </c>
    </row>
    <row r="38" spans="1:5" ht="40" customHeight="1" x14ac:dyDescent="0.2">
      <c r="A38" s="24"/>
      <c r="B38" s="3" t="s">
        <v>98</v>
      </c>
      <c r="C38" s="4" t="s">
        <v>99</v>
      </c>
      <c r="D38" s="5" t="s">
        <v>97</v>
      </c>
    </row>
    <row r="39" spans="1:5" ht="40" customHeight="1" x14ac:dyDescent="0.2">
      <c r="A39" s="24"/>
      <c r="B39" s="7" t="s">
        <v>100</v>
      </c>
      <c r="C39" s="8" t="s">
        <v>101</v>
      </c>
      <c r="D39" s="5" t="s">
        <v>97</v>
      </c>
    </row>
    <row r="40" spans="1:5" ht="40" customHeight="1" x14ac:dyDescent="0.2">
      <c r="A40" s="25"/>
      <c r="B40" s="3" t="s">
        <v>102</v>
      </c>
      <c r="C40" s="4" t="s">
        <v>103</v>
      </c>
      <c r="D40" s="10" t="s">
        <v>48</v>
      </c>
    </row>
    <row r="41" spans="1:5" ht="40" customHeight="1" x14ac:dyDescent="0.2">
      <c r="A41" s="23" t="s">
        <v>104</v>
      </c>
      <c r="B41" s="7" t="s">
        <v>105</v>
      </c>
      <c r="C41" s="8" t="s">
        <v>106</v>
      </c>
      <c r="D41" s="9" t="s">
        <v>107</v>
      </c>
      <c r="E41" t="s">
        <v>135</v>
      </c>
    </row>
    <row r="42" spans="1:5" ht="40" customHeight="1" x14ac:dyDescent="0.2">
      <c r="A42" s="24"/>
      <c r="B42" s="3" t="s">
        <v>108</v>
      </c>
      <c r="C42" s="4" t="s">
        <v>109</v>
      </c>
      <c r="D42" s="5" t="s">
        <v>45</v>
      </c>
      <c r="E42" t="s">
        <v>135</v>
      </c>
    </row>
    <row r="43" spans="1:5" ht="40" customHeight="1" x14ac:dyDescent="0.2">
      <c r="A43" s="24"/>
      <c r="B43" s="7" t="s">
        <v>110</v>
      </c>
      <c r="C43" s="8" t="s">
        <v>111</v>
      </c>
      <c r="D43" s="5" t="s">
        <v>45</v>
      </c>
      <c r="E43" t="s">
        <v>135</v>
      </c>
    </row>
    <row r="44" spans="1:5" ht="40" customHeight="1" x14ac:dyDescent="0.2">
      <c r="A44" s="24"/>
      <c r="B44" s="3" t="s">
        <v>112</v>
      </c>
      <c r="C44" s="4" t="s">
        <v>113</v>
      </c>
      <c r="D44" s="5" t="s">
        <v>97</v>
      </c>
      <c r="E44" t="s">
        <v>135</v>
      </c>
    </row>
    <row r="45" spans="1:5" ht="40" customHeight="1" x14ac:dyDescent="0.2">
      <c r="A45" s="24"/>
      <c r="B45" s="7" t="s">
        <v>114</v>
      </c>
      <c r="C45" s="8" t="s">
        <v>115</v>
      </c>
      <c r="D45" s="5" t="s">
        <v>45</v>
      </c>
    </row>
    <row r="46" spans="1:5" ht="40" customHeight="1" x14ac:dyDescent="0.2">
      <c r="A46" s="25"/>
      <c r="B46" s="3" t="s">
        <v>116</v>
      </c>
      <c r="C46" s="4" t="s">
        <v>117</v>
      </c>
      <c r="D46" s="5" t="s">
        <v>97</v>
      </c>
    </row>
    <row r="47" spans="1:5" ht="40" customHeight="1" x14ac:dyDescent="0.2">
      <c r="A47" s="23" t="s">
        <v>118</v>
      </c>
      <c r="B47" s="7" t="s">
        <v>119</v>
      </c>
      <c r="C47" s="8" t="s">
        <v>120</v>
      </c>
      <c r="D47" s="6" t="s">
        <v>9</v>
      </c>
    </row>
    <row r="48" spans="1:5" ht="40" customHeight="1" x14ac:dyDescent="0.2">
      <c r="A48" s="24"/>
      <c r="B48" s="3" t="s">
        <v>121</v>
      </c>
      <c r="C48" s="4" t="s">
        <v>122</v>
      </c>
      <c r="D48" s="9" t="s">
        <v>123</v>
      </c>
    </row>
    <row r="49" spans="1:4" ht="40" customHeight="1" x14ac:dyDescent="0.2">
      <c r="A49" s="24"/>
      <c r="B49" s="7" t="s">
        <v>124</v>
      </c>
      <c r="C49" s="8" t="s">
        <v>125</v>
      </c>
      <c r="D49" s="5" t="s">
        <v>45</v>
      </c>
    </row>
    <row r="50" spans="1:4" ht="40" customHeight="1" x14ac:dyDescent="0.2">
      <c r="A50" s="24"/>
      <c r="B50" s="3" t="s">
        <v>126</v>
      </c>
      <c r="C50" s="4" t="s">
        <v>127</v>
      </c>
      <c r="D50" s="5" t="s">
        <v>8</v>
      </c>
    </row>
    <row r="51" spans="1:4" ht="40" customHeight="1" x14ac:dyDescent="0.2">
      <c r="A51" s="25"/>
      <c r="B51" s="7" t="s">
        <v>128</v>
      </c>
      <c r="C51" s="8" t="s">
        <v>129</v>
      </c>
      <c r="D51" s="10" t="s">
        <v>48</v>
      </c>
    </row>
  </sheetData>
  <mergeCells count="9">
    <mergeCell ref="A36:A40"/>
    <mergeCell ref="A47:A51"/>
    <mergeCell ref="A31:A35"/>
    <mergeCell ref="A41:A46"/>
    <mergeCell ref="A13:A18"/>
    <mergeCell ref="A8:A12"/>
    <mergeCell ref="A2:A7"/>
    <mergeCell ref="A24:A30"/>
    <mergeCell ref="A19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1" width="36" customWidth="1"/>
    <col min="2" max="3" width="12" customWidth="1"/>
  </cols>
  <sheetData>
    <row r="1" spans="1:3" ht="22" customHeight="1" x14ac:dyDescent="0.2">
      <c r="A1" s="1" t="s">
        <v>130</v>
      </c>
      <c r="B1" s="1" t="s">
        <v>131</v>
      </c>
      <c r="C1" s="1" t="s">
        <v>132</v>
      </c>
    </row>
    <row r="2" spans="1:3" ht="20" customHeight="1" x14ac:dyDescent="0.2">
      <c r="A2" s="11" t="s">
        <v>133</v>
      </c>
      <c r="B2" s="12">
        <v>22</v>
      </c>
      <c r="C2" s="13">
        <f>B2/$B$5</f>
        <v>0.48888888888888887</v>
      </c>
    </row>
    <row r="3" spans="1:3" ht="20" customHeight="1" x14ac:dyDescent="0.2">
      <c r="A3" s="14" t="s">
        <v>16</v>
      </c>
      <c r="B3" s="15">
        <v>15</v>
      </c>
      <c r="C3" s="16">
        <f>B3/$B$5</f>
        <v>0.33333333333333331</v>
      </c>
    </row>
    <row r="4" spans="1:3" ht="20" customHeight="1" x14ac:dyDescent="0.2">
      <c r="A4" s="17" t="s">
        <v>12</v>
      </c>
      <c r="B4" s="18">
        <v>8</v>
      </c>
      <c r="C4" s="19">
        <f>B4/$B$5</f>
        <v>0.17777777777777778</v>
      </c>
    </row>
    <row r="5" spans="1:3" ht="20" customHeight="1" x14ac:dyDescent="0.2">
      <c r="A5" s="20" t="s">
        <v>134</v>
      </c>
      <c r="B5" s="21">
        <v>45</v>
      </c>
      <c r="C5" s="22">
        <f>SUM(C2:C4)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Glossary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Hendrik de Beer</cp:lastModifiedBy>
  <dcterms:created xsi:type="dcterms:W3CDTF">2026-03-19T02:29:27Z</dcterms:created>
  <dcterms:modified xsi:type="dcterms:W3CDTF">2026-03-19T02:31:52Z</dcterms:modified>
</cp:coreProperties>
</file>